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cuments\FederalAI\Zusatzzeuch\"/>
    </mc:Choice>
  </mc:AlternateContent>
  <xr:revisionPtr revIDLastSave="0" documentId="13_ncr:1_{65E5D636-C32B-454D-A88F-8EFB0D7E8B8F}" xr6:coauthVersionLast="47" xr6:coauthVersionMax="47" xr10:uidLastSave="{00000000-0000-0000-0000-000000000000}"/>
  <bookViews>
    <workbookView xWindow="10065" yWindow="3045" windowWidth="35010" windowHeight="15885" xr2:uid="{52DCE92F-6A73-4A95-9A5F-EEA0CB0D44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J20" i="1"/>
  <c r="J16" i="1"/>
  <c r="J12" i="1"/>
  <c r="J9" i="1"/>
  <c r="I9" i="1"/>
  <c r="I12" i="1"/>
  <c r="I20" i="1"/>
  <c r="I19" i="1"/>
  <c r="I16" i="1"/>
  <c r="C20" i="1"/>
  <c r="D20" i="1"/>
  <c r="E20" i="1"/>
  <c r="F20" i="1"/>
  <c r="G20" i="1"/>
  <c r="H20" i="1"/>
  <c r="K20" i="1"/>
  <c r="L20" i="1"/>
  <c r="M20" i="1"/>
  <c r="N20" i="1"/>
  <c r="B20" i="1"/>
  <c r="C19" i="1"/>
  <c r="D19" i="1"/>
  <c r="E19" i="1"/>
  <c r="F19" i="1"/>
  <c r="G19" i="1"/>
  <c r="H19" i="1"/>
  <c r="K19" i="1"/>
  <c r="L19" i="1"/>
  <c r="M19" i="1"/>
  <c r="N19" i="1"/>
  <c r="C16" i="1"/>
  <c r="D16" i="1"/>
  <c r="E16" i="1"/>
  <c r="F16" i="1"/>
  <c r="G16" i="1"/>
  <c r="H16" i="1"/>
  <c r="K16" i="1"/>
  <c r="L16" i="1"/>
  <c r="M16" i="1"/>
  <c r="N16" i="1"/>
  <c r="C12" i="1"/>
  <c r="D12" i="1"/>
  <c r="E12" i="1"/>
  <c r="F12" i="1"/>
  <c r="G12" i="1"/>
  <c r="H12" i="1"/>
  <c r="K12" i="1"/>
  <c r="L12" i="1"/>
  <c r="M12" i="1"/>
  <c r="N12" i="1"/>
  <c r="B19" i="1"/>
  <c r="B16" i="1"/>
  <c r="B12" i="1"/>
  <c r="C9" i="1"/>
  <c r="D9" i="1"/>
  <c r="E9" i="1"/>
  <c r="F9" i="1"/>
  <c r="G9" i="1"/>
  <c r="H9" i="1"/>
  <c r="K9" i="1"/>
  <c r="L9" i="1"/>
  <c r="M9" i="1"/>
  <c r="N9" i="1"/>
  <c r="B9" i="1"/>
</calcChain>
</file>

<file path=xl/sharedStrings.xml><?xml version="1.0" encoding="utf-8"?>
<sst xmlns="http://schemas.openxmlformats.org/spreadsheetml/2006/main" count="116" uniqueCount="76">
  <si>
    <t>Devstral-Small-2-24B-Instruct-2512-IQ4_XS-4.04bpw</t>
  </si>
  <si>
    <t>Ministral-3-14B-Reasoning-2512-Q6_K</t>
  </si>
  <si>
    <t>Qwen3.6-27B-UD-Q3_K_XL</t>
  </si>
  <si>
    <t>Qwen3.6-35B-A3B-UD-IQ3_S</t>
  </si>
  <si>
    <t>Gemma-4-26B-A4B-IQ3_M</t>
  </si>
  <si>
    <t>gemma-4-31B-it-Q3_K_S</t>
  </si>
  <si>
    <t>Qwen3.5-9B-Q8_0</t>
  </si>
  <si>
    <t>SuperCalc Sicherheitsbenchmark</t>
  </si>
  <si>
    <t>Validierung gegen MD</t>
  </si>
  <si>
    <t>Tokens</t>
  </si>
  <si>
    <t>4388</t>
  </si>
  <si>
    <t>6658</t>
  </si>
  <si>
    <t>7029</t>
  </si>
  <si>
    <t>Reading (prompt processing)</t>
  </si>
  <si>
    <t>Generation (token output)</t>
  </si>
  <si>
    <t>5182</t>
  </si>
  <si>
    <t>angebliche Fehler gefunden</t>
  </si>
  <si>
    <t>2019</t>
  </si>
  <si>
    <t>4404</t>
  </si>
  <si>
    <t>Dense</t>
  </si>
  <si>
    <t>MoE</t>
  </si>
  <si>
    <t>9999</t>
  </si>
  <si>
    <t>Qwen3.5-4B-Q8_0.gguf</t>
  </si>
  <si>
    <t>9748</t>
  </si>
  <si>
    <t>12</t>
  </si>
  <si>
    <t>9</t>
  </si>
  <si>
    <t>10</t>
  </si>
  <si>
    <t>18</t>
  </si>
  <si>
    <t>8</t>
  </si>
  <si>
    <t>3349</t>
  </si>
  <si>
    <t>Qwen3.5-2B-Q8_0.gguf</t>
  </si>
  <si>
    <t>X</t>
  </si>
  <si>
    <t>gemma-4-E4B-it-Q8_0</t>
  </si>
  <si>
    <t>gemma-4-E2B-it-BF16</t>
  </si>
  <si>
    <t>4367</t>
  </si>
  <si>
    <t>5429</t>
  </si>
  <si>
    <t>9070 XT 16GB, 48GB RAM, intel 285K</t>
  </si>
  <si>
    <t>Tokens/sek</t>
  </si>
  <si>
    <t>1026</t>
  </si>
  <si>
    <t>570</t>
  </si>
  <si>
    <t>153</t>
  </si>
  <si>
    <t>100</t>
  </si>
  <si>
    <t>205</t>
  </si>
  <si>
    <t>481</t>
  </si>
  <si>
    <t>156</t>
  </si>
  <si>
    <t>58</t>
  </si>
  <si>
    <t>62</t>
  </si>
  <si>
    <t>43</t>
  </si>
  <si>
    <t>29</t>
  </si>
  <si>
    <t>22</t>
  </si>
  <si>
    <t>111</t>
  </si>
  <si>
    <t>132</t>
  </si>
  <si>
    <t>193</t>
  </si>
  <si>
    <t>84</t>
  </si>
  <si>
    <t>42</t>
  </si>
  <si>
    <t>173</t>
  </si>
  <si>
    <t>105</t>
  </si>
  <si>
    <t>time [s]</t>
  </si>
  <si>
    <t>valitationtime [s]</t>
  </si>
  <si>
    <t>Tokens ges</t>
  </si>
  <si>
    <t>Devstral-Small-2-24B-Instruct-2512-UD-Q4_K_XL</t>
  </si>
  <si>
    <t>117</t>
  </si>
  <si>
    <t>1816</t>
  </si>
  <si>
    <t>328</t>
  </si>
  <si>
    <t>339</t>
  </si>
  <si>
    <t>Devstral-Small-2-24B-Instruct-2512-Q3_K_L</t>
  </si>
  <si>
    <t>17</t>
  </si>
  <si>
    <t>2894</t>
  </si>
  <si>
    <t>248</t>
  </si>
  <si>
    <t>164</t>
  </si>
  <si>
    <t>15</t>
  </si>
  <si>
    <t>15/15</t>
  </si>
  <si>
    <t>12/15</t>
  </si>
  <si>
    <t>9/15</t>
  </si>
  <si>
    <t>8/15</t>
  </si>
  <si>
    <t>14/15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</si>
</sst>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Microsoft New Tai Lue"/>
      <family val="2"/>
    </font>
    <font>
      <b/>
      <sz val="12"/>
      <name val="Microsoft New Tai Lue"/>
      <family val="2"/>
    </font>
    <font>
      <sz val="12"/>
      <color theme="1"/>
      <name val="Microsoft New Tai Lue"/>
      <family val="2"/>
    </font>
    <font>
      <i/>
      <u/>
      <sz val="12"/>
      <color theme="1"/>
      <name val="Microsoft New Tai Lue"/>
      <family val="2"/>
    </font>
    <font>
      <i/>
      <sz val="10"/>
      <color theme="1"/>
      <name val="Microsoft New Tai Lue"/>
      <family val="2"/>
    </font>
    <font>
      <sz val="11"/>
      <color theme="1" tint="0.499984740745262"/>
      <name val="Microsoft New Tai Lue"/>
      <family val="2"/>
    </font>
    <font>
      <b/>
      <sz val="12"/>
      <color theme="0" tint="-4.9989318521683403E-2"/>
      <name val="Microsoft New Tai Lue"/>
      <family val="2"/>
    </font>
    <font>
      <sz val="12"/>
      <color theme="0" tint="-4.9989318521683403E-2"/>
      <name val="Microsoft New Tai Lue"/>
      <family val="2"/>
    </font>
    <font>
      <b/>
      <sz val="12"/>
      <color theme="0"/>
      <name val="Microsoft New Tai Lue"/>
      <family val="2"/>
    </font>
    <font>
      <sz val="12"/>
      <color theme="0"/>
      <name val="Microsoft New Tai Lue"/>
      <family val="2"/>
    </font>
    <font>
      <b/>
      <i/>
      <sz val="12"/>
      <color theme="1"/>
      <name val="Microsoft New Tai Lue"/>
      <family val="2"/>
    </font>
    <font>
      <i/>
      <sz val="12"/>
      <color theme="1"/>
      <name val="Microsoft New Tai Lue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49" fontId="6" fillId="4" borderId="6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right" vertical="center"/>
    </xf>
    <xf numFmtId="49" fontId="10" fillId="1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49" fontId="12" fillId="2" borderId="6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2" fillId="2" borderId="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right" vertical="center"/>
    </xf>
    <xf numFmtId="49" fontId="12" fillId="3" borderId="6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966FF"/>
      <color rgb="FF3399FF"/>
      <color rgb="FF696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9A31-C7C3-495B-9122-319EFBF9560B}">
  <dimension ref="A1:N20"/>
  <sheetViews>
    <sheetView tabSelected="1" zoomScaleNormal="100" workbookViewId="0">
      <selection activeCell="N5" sqref="N5"/>
    </sheetView>
  </sheetViews>
  <sheetFormatPr baseColWidth="10" defaultRowHeight="17.25" x14ac:dyDescent="0.25"/>
  <cols>
    <col min="1" max="1" width="43.42578125" style="3" bestFit="1" customWidth="1"/>
    <col min="2" max="2" width="30.140625" style="2" bestFit="1" customWidth="1"/>
    <col min="3" max="3" width="32.42578125" style="2" bestFit="1" customWidth="1"/>
    <col min="4" max="4" width="30" style="2" bestFit="1" customWidth="1"/>
    <col min="5" max="5" width="28" style="2" bestFit="1" customWidth="1"/>
    <col min="6" max="6" width="25.42578125" style="2" bestFit="1" customWidth="1"/>
    <col min="7" max="7" width="25.28515625" style="2" bestFit="1" customWidth="1"/>
    <col min="8" max="8" width="59" style="2" bestFit="1" customWidth="1"/>
    <col min="9" max="10" width="59" style="2" customWidth="1"/>
    <col min="11" max="11" width="43.42578125" style="2" bestFit="1" customWidth="1"/>
    <col min="12" max="12" width="20.5703125" style="2" bestFit="1" customWidth="1"/>
    <col min="13" max="14" width="26.42578125" style="2" bestFit="1" customWidth="1"/>
    <col min="15" max="16384" width="11.42578125" style="2"/>
  </cols>
  <sheetData>
    <row r="1" spans="1:14" s="4" customFormat="1" x14ac:dyDescent="0.25">
      <c r="A1" s="38" t="s">
        <v>36</v>
      </c>
      <c r="B1" s="22" t="s">
        <v>19</v>
      </c>
      <c r="C1" s="22" t="s">
        <v>20</v>
      </c>
      <c r="D1" s="20" t="s">
        <v>20</v>
      </c>
      <c r="E1" s="20" t="s">
        <v>19</v>
      </c>
      <c r="F1" s="20" t="s">
        <v>20</v>
      </c>
      <c r="G1" s="20" t="s">
        <v>20</v>
      </c>
      <c r="H1" s="18" t="s">
        <v>19</v>
      </c>
      <c r="I1" s="18" t="s">
        <v>19</v>
      </c>
      <c r="J1" s="18" t="s">
        <v>19</v>
      </c>
      <c r="K1" s="18" t="s">
        <v>19</v>
      </c>
      <c r="L1" s="22" t="s">
        <v>19</v>
      </c>
      <c r="M1" s="22" t="s">
        <v>19</v>
      </c>
      <c r="N1" s="22" t="s">
        <v>19</v>
      </c>
    </row>
    <row r="2" spans="1:14" s="1" customFormat="1" x14ac:dyDescent="0.25">
      <c r="A2" s="39"/>
      <c r="B2" s="23" t="s">
        <v>2</v>
      </c>
      <c r="C2" s="23" t="s">
        <v>3</v>
      </c>
      <c r="D2" s="21" t="s">
        <v>4</v>
      </c>
      <c r="E2" s="21" t="s">
        <v>5</v>
      </c>
      <c r="F2" s="21" t="s">
        <v>32</v>
      </c>
      <c r="G2" s="21" t="s">
        <v>33</v>
      </c>
      <c r="H2" s="19" t="s">
        <v>0</v>
      </c>
      <c r="I2" s="19" t="s">
        <v>60</v>
      </c>
      <c r="J2" s="19" t="s">
        <v>65</v>
      </c>
      <c r="K2" s="19" t="s">
        <v>1</v>
      </c>
      <c r="L2" s="23" t="s">
        <v>6</v>
      </c>
      <c r="M2" s="23" t="s">
        <v>22</v>
      </c>
      <c r="N2" s="23" t="s">
        <v>30</v>
      </c>
    </row>
    <row r="3" spans="1:14" x14ac:dyDescent="0.25">
      <c r="A3" s="5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14" t="s">
        <v>16</v>
      </c>
      <c r="B4" s="15" t="s">
        <v>26</v>
      </c>
      <c r="C4" s="15" t="s">
        <v>24</v>
      </c>
      <c r="D4" s="15" t="s">
        <v>25</v>
      </c>
      <c r="E4" s="15" t="s">
        <v>26</v>
      </c>
      <c r="F4" s="15" t="s">
        <v>26</v>
      </c>
      <c r="G4" s="15" t="s">
        <v>28</v>
      </c>
      <c r="H4" s="15" t="s">
        <v>25</v>
      </c>
      <c r="I4" s="15" t="s">
        <v>25</v>
      </c>
      <c r="J4" s="15" t="s">
        <v>66</v>
      </c>
      <c r="K4" s="15" t="s">
        <v>24</v>
      </c>
      <c r="L4" s="15" t="s">
        <v>27</v>
      </c>
      <c r="M4" s="15" t="s">
        <v>28</v>
      </c>
      <c r="N4" s="15" t="s">
        <v>31</v>
      </c>
    </row>
    <row r="5" spans="1:14" x14ac:dyDescent="0.25">
      <c r="A5" s="16" t="s">
        <v>8</v>
      </c>
      <c r="B5" s="17" t="s">
        <v>71</v>
      </c>
      <c r="C5" s="17" t="s">
        <v>72</v>
      </c>
      <c r="D5" s="17" t="s">
        <v>73</v>
      </c>
      <c r="E5" s="17" t="s">
        <v>73</v>
      </c>
      <c r="F5" s="17" t="s">
        <v>72</v>
      </c>
      <c r="G5" s="17" t="s">
        <v>74</v>
      </c>
      <c r="H5" s="17" t="s">
        <v>75</v>
      </c>
      <c r="I5" s="17" t="s">
        <v>75</v>
      </c>
      <c r="J5" s="17" t="s">
        <v>75</v>
      </c>
      <c r="K5" s="17" t="s">
        <v>75</v>
      </c>
      <c r="L5" s="17" t="s">
        <v>73</v>
      </c>
      <c r="M5" s="17" t="s">
        <v>72</v>
      </c>
      <c r="N5" s="17" t="s">
        <v>31</v>
      </c>
    </row>
    <row r="6" spans="1:14" x14ac:dyDescent="0.25">
      <c r="A6" s="8" t="s">
        <v>14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s="30" customFormat="1" x14ac:dyDescent="0.25">
      <c r="A7" s="28" t="s">
        <v>57</v>
      </c>
      <c r="B7" s="29" t="s">
        <v>38</v>
      </c>
      <c r="C7" s="29" t="s">
        <v>40</v>
      </c>
      <c r="D7" s="29" t="s">
        <v>43</v>
      </c>
      <c r="E7" s="29" t="s">
        <v>44</v>
      </c>
      <c r="F7" s="29" t="s">
        <v>45</v>
      </c>
      <c r="G7" s="29" t="s">
        <v>46</v>
      </c>
      <c r="H7" s="29" t="s">
        <v>51</v>
      </c>
      <c r="I7" s="29" t="s">
        <v>63</v>
      </c>
      <c r="J7" s="29" t="s">
        <v>68</v>
      </c>
      <c r="K7" s="29" t="s">
        <v>52</v>
      </c>
      <c r="L7" s="29" t="s">
        <v>55</v>
      </c>
      <c r="M7" s="29" t="s">
        <v>56</v>
      </c>
      <c r="N7" s="29" t="s">
        <v>31</v>
      </c>
    </row>
    <row r="8" spans="1:14" s="1" customFormat="1" x14ac:dyDescent="0.25">
      <c r="A8" s="8" t="s">
        <v>9</v>
      </c>
      <c r="B8" s="35" t="s">
        <v>12</v>
      </c>
      <c r="C8" s="35" t="s">
        <v>11</v>
      </c>
      <c r="D8" s="35" t="s">
        <v>10</v>
      </c>
      <c r="E8" s="35" t="s">
        <v>15</v>
      </c>
      <c r="F8" s="35" t="s">
        <v>34</v>
      </c>
      <c r="G8" s="35" t="s">
        <v>35</v>
      </c>
      <c r="H8" s="35" t="s">
        <v>17</v>
      </c>
      <c r="I8" s="35" t="s">
        <v>62</v>
      </c>
      <c r="J8" s="35" t="s">
        <v>67</v>
      </c>
      <c r="K8" s="35" t="s">
        <v>18</v>
      </c>
      <c r="L8" s="35" t="s">
        <v>21</v>
      </c>
      <c r="M8" s="35" t="s">
        <v>23</v>
      </c>
      <c r="N8" s="35" t="s">
        <v>31</v>
      </c>
    </row>
    <row r="9" spans="1:14" s="6" customFormat="1" ht="16.5" x14ac:dyDescent="0.25">
      <c r="A9" s="12" t="s">
        <v>37</v>
      </c>
      <c r="B9" s="13">
        <f>B8/B7</f>
        <v>6.8508771929824563</v>
      </c>
      <c r="C9" s="13">
        <f t="shared" ref="C9:N9" si="0">C8/C7</f>
        <v>43.516339869281047</v>
      </c>
      <c r="D9" s="13">
        <f t="shared" si="0"/>
        <v>9.1226611226611229</v>
      </c>
      <c r="E9" s="13">
        <f t="shared" si="0"/>
        <v>33.217948717948715</v>
      </c>
      <c r="F9" s="13">
        <f t="shared" si="0"/>
        <v>75.293103448275858</v>
      </c>
      <c r="G9" s="13">
        <f t="shared" si="0"/>
        <v>87.564516129032256</v>
      </c>
      <c r="H9" s="13">
        <f t="shared" si="0"/>
        <v>15.295454545454545</v>
      </c>
      <c r="I9" s="13">
        <f t="shared" si="0"/>
        <v>5.5365853658536581</v>
      </c>
      <c r="J9" s="13">
        <f t="shared" si="0"/>
        <v>11.669354838709678</v>
      </c>
      <c r="K9" s="13">
        <f t="shared" si="0"/>
        <v>22.818652849740932</v>
      </c>
      <c r="L9" s="13">
        <f t="shared" si="0"/>
        <v>57.797687861271676</v>
      </c>
      <c r="M9" s="13">
        <f t="shared" si="0"/>
        <v>92.838095238095235</v>
      </c>
      <c r="N9" s="13" t="e">
        <f t="shared" si="0"/>
        <v>#VALUE!</v>
      </c>
    </row>
    <row r="10" spans="1:14" s="30" customFormat="1" x14ac:dyDescent="0.25">
      <c r="A10" s="28" t="s">
        <v>58</v>
      </c>
      <c r="B10" s="31" t="s">
        <v>39</v>
      </c>
      <c r="C10" s="31" t="s">
        <v>41</v>
      </c>
      <c r="D10" s="31" t="s">
        <v>42</v>
      </c>
      <c r="E10" s="31" t="s">
        <v>47</v>
      </c>
      <c r="F10" s="31" t="s">
        <v>48</v>
      </c>
      <c r="G10" s="31" t="s">
        <v>49</v>
      </c>
      <c r="H10" s="31" t="s">
        <v>50</v>
      </c>
      <c r="I10" s="31" t="s">
        <v>64</v>
      </c>
      <c r="J10" s="31" t="s">
        <v>69</v>
      </c>
      <c r="K10" s="31" t="s">
        <v>53</v>
      </c>
      <c r="L10" s="31" t="s">
        <v>54</v>
      </c>
      <c r="M10" s="31">
        <v>36</v>
      </c>
      <c r="N10" s="31" t="s">
        <v>31</v>
      </c>
    </row>
    <row r="11" spans="1:14" s="1" customFormat="1" x14ac:dyDescent="0.25">
      <c r="A11" s="8" t="s">
        <v>9</v>
      </c>
      <c r="B11" s="36">
        <v>3712</v>
      </c>
      <c r="C11" s="36">
        <v>4347</v>
      </c>
      <c r="D11" s="36">
        <v>1739</v>
      </c>
      <c r="E11" s="36">
        <v>2152</v>
      </c>
      <c r="F11" s="36">
        <v>2120</v>
      </c>
      <c r="G11" s="36">
        <v>1948</v>
      </c>
      <c r="H11" s="36">
        <v>1352</v>
      </c>
      <c r="I11" s="36">
        <v>1709</v>
      </c>
      <c r="J11" s="36">
        <v>1574</v>
      </c>
      <c r="K11" s="36">
        <v>1406</v>
      </c>
      <c r="L11" s="36">
        <v>2391</v>
      </c>
      <c r="M11" s="36" t="s">
        <v>29</v>
      </c>
      <c r="N11" s="36" t="s">
        <v>31</v>
      </c>
    </row>
    <row r="12" spans="1:14" s="6" customFormat="1" ht="16.5" x14ac:dyDescent="0.25">
      <c r="A12" s="12" t="s">
        <v>37</v>
      </c>
      <c r="B12" s="13">
        <f>B11/B10</f>
        <v>6.5122807017543858</v>
      </c>
      <c r="C12" s="13">
        <f t="shared" ref="C12:N12" si="1">C11/C10</f>
        <v>43.47</v>
      </c>
      <c r="D12" s="13">
        <f t="shared" si="1"/>
        <v>8.4829268292682922</v>
      </c>
      <c r="E12" s="13">
        <f t="shared" si="1"/>
        <v>50.046511627906973</v>
      </c>
      <c r="F12" s="13">
        <f t="shared" si="1"/>
        <v>73.103448275862064</v>
      </c>
      <c r="G12" s="13">
        <f t="shared" si="1"/>
        <v>88.545454545454547</v>
      </c>
      <c r="H12" s="13">
        <f t="shared" si="1"/>
        <v>12.18018018018018</v>
      </c>
      <c r="I12" s="13">
        <f t="shared" si="1"/>
        <v>5.0412979351032448</v>
      </c>
      <c r="J12" s="13">
        <f t="shared" si="1"/>
        <v>9.5975609756097562</v>
      </c>
      <c r="K12" s="13">
        <f t="shared" si="1"/>
        <v>16.738095238095237</v>
      </c>
      <c r="L12" s="13">
        <f t="shared" si="1"/>
        <v>56.928571428571431</v>
      </c>
      <c r="M12" s="13">
        <f t="shared" si="1"/>
        <v>93.027777777777771</v>
      </c>
      <c r="N12" s="13" t="e">
        <f t="shared" si="1"/>
        <v>#VALUE!</v>
      </c>
    </row>
    <row r="13" spans="1:14" x14ac:dyDescent="0.25">
      <c r="A13" s="10" t="s">
        <v>13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s="30" customFormat="1" x14ac:dyDescent="0.25">
      <c r="A14" s="32" t="s">
        <v>57</v>
      </c>
      <c r="B14" s="33">
        <v>130</v>
      </c>
      <c r="C14" s="33">
        <v>21</v>
      </c>
      <c r="D14" s="33">
        <v>165</v>
      </c>
      <c r="E14" s="33">
        <v>20</v>
      </c>
      <c r="F14" s="33">
        <v>2.5</v>
      </c>
      <c r="G14" s="33">
        <v>2</v>
      </c>
      <c r="H14" s="33" t="s">
        <v>70</v>
      </c>
      <c r="I14" s="33" t="s">
        <v>61</v>
      </c>
      <c r="J14" s="33" t="s">
        <v>61</v>
      </c>
      <c r="K14" s="33">
        <v>37</v>
      </c>
      <c r="L14" s="33">
        <v>3.3</v>
      </c>
      <c r="M14" s="33">
        <v>1.9</v>
      </c>
      <c r="N14" s="33">
        <v>0.8</v>
      </c>
    </row>
    <row r="15" spans="1:14" s="1" customFormat="1" x14ac:dyDescent="0.25">
      <c r="A15" s="10" t="s">
        <v>9</v>
      </c>
      <c r="B15" s="37">
        <v>8863</v>
      </c>
      <c r="C15" s="37">
        <v>8863</v>
      </c>
      <c r="D15" s="37">
        <v>9944</v>
      </c>
      <c r="E15" s="37">
        <v>9943</v>
      </c>
      <c r="F15" s="37">
        <v>9943</v>
      </c>
      <c r="G15" s="37">
        <v>9943</v>
      </c>
      <c r="H15" s="37">
        <v>8611</v>
      </c>
      <c r="I15" s="37">
        <v>9163</v>
      </c>
      <c r="J15" s="37">
        <v>8611</v>
      </c>
      <c r="K15" s="37">
        <v>8734</v>
      </c>
      <c r="L15" s="37">
        <v>8863</v>
      </c>
      <c r="M15" s="37">
        <v>8863</v>
      </c>
      <c r="N15" s="37">
        <v>8863</v>
      </c>
    </row>
    <row r="16" spans="1:14" s="6" customFormat="1" ht="16.5" x14ac:dyDescent="0.25">
      <c r="A16" s="12" t="s">
        <v>37</v>
      </c>
      <c r="B16" s="13">
        <f>B15/B14</f>
        <v>68.176923076923075</v>
      </c>
      <c r="C16" s="13">
        <f t="shared" ref="C16:N16" si="2">C15/C14</f>
        <v>422.04761904761904</v>
      </c>
      <c r="D16" s="13">
        <f t="shared" si="2"/>
        <v>60.266666666666666</v>
      </c>
      <c r="E16" s="13">
        <f t="shared" si="2"/>
        <v>497.15</v>
      </c>
      <c r="F16" s="13">
        <f t="shared" si="2"/>
        <v>3977.2</v>
      </c>
      <c r="G16" s="13">
        <f t="shared" si="2"/>
        <v>4971.5</v>
      </c>
      <c r="H16" s="13">
        <f t="shared" si="2"/>
        <v>574.06666666666672</v>
      </c>
      <c r="I16" s="13">
        <f t="shared" si="2"/>
        <v>78.316239316239319</v>
      </c>
      <c r="J16" s="13">
        <f t="shared" si="2"/>
        <v>73.598290598290603</v>
      </c>
      <c r="K16" s="13">
        <f t="shared" si="2"/>
        <v>236.05405405405406</v>
      </c>
      <c r="L16" s="13">
        <f t="shared" si="2"/>
        <v>2685.757575757576</v>
      </c>
      <c r="M16" s="13">
        <f t="shared" si="2"/>
        <v>4664.7368421052633</v>
      </c>
      <c r="N16" s="13">
        <f t="shared" si="2"/>
        <v>11078.75</v>
      </c>
    </row>
    <row r="17" spans="1:14" s="30" customFormat="1" x14ac:dyDescent="0.25">
      <c r="A17" s="32" t="s">
        <v>58</v>
      </c>
      <c r="B17" s="34">
        <v>115</v>
      </c>
      <c r="C17" s="34">
        <v>19</v>
      </c>
      <c r="D17" s="34">
        <v>132</v>
      </c>
      <c r="E17" s="34">
        <v>16</v>
      </c>
      <c r="F17" s="34">
        <v>3.5</v>
      </c>
      <c r="G17" s="34">
        <v>2.7</v>
      </c>
      <c r="H17" s="34">
        <v>14</v>
      </c>
      <c r="I17" s="34">
        <v>65</v>
      </c>
      <c r="J17" s="34">
        <v>93</v>
      </c>
      <c r="K17" s="34">
        <v>24</v>
      </c>
      <c r="L17" s="34">
        <v>3.4</v>
      </c>
      <c r="M17" s="34">
        <v>2</v>
      </c>
      <c r="N17" s="34" t="s">
        <v>31</v>
      </c>
    </row>
    <row r="18" spans="1:14" s="1" customFormat="1" x14ac:dyDescent="0.25">
      <c r="A18" s="10" t="s">
        <v>9</v>
      </c>
      <c r="B18" s="37">
        <v>7368</v>
      </c>
      <c r="C18" s="37">
        <v>7549</v>
      </c>
      <c r="D18" s="37">
        <v>7335</v>
      </c>
      <c r="E18" s="37">
        <v>6894</v>
      </c>
      <c r="F18" s="37">
        <v>9205</v>
      </c>
      <c r="G18" s="37">
        <v>8269</v>
      </c>
      <c r="H18" s="37">
        <v>5914</v>
      </c>
      <c r="I18" s="37">
        <v>4864</v>
      </c>
      <c r="J18" s="37">
        <v>6354</v>
      </c>
      <c r="K18" s="37">
        <v>4864</v>
      </c>
      <c r="L18" s="37">
        <v>8119</v>
      </c>
      <c r="M18" s="37">
        <v>7346</v>
      </c>
      <c r="N18" s="37" t="s">
        <v>31</v>
      </c>
    </row>
    <row r="19" spans="1:14" s="6" customFormat="1" ht="16.5" x14ac:dyDescent="0.25">
      <c r="A19" s="24" t="s">
        <v>37</v>
      </c>
      <c r="B19" s="25">
        <f>B18/B17</f>
        <v>64.0695652173913</v>
      </c>
      <c r="C19" s="25">
        <f t="shared" ref="C19:N19" si="3">C18/C17</f>
        <v>397.31578947368422</v>
      </c>
      <c r="D19" s="25">
        <f t="shared" si="3"/>
        <v>55.56818181818182</v>
      </c>
      <c r="E19" s="25">
        <f t="shared" si="3"/>
        <v>430.875</v>
      </c>
      <c r="F19" s="25">
        <f t="shared" si="3"/>
        <v>2630</v>
      </c>
      <c r="G19" s="25">
        <f t="shared" si="3"/>
        <v>3062.5925925925926</v>
      </c>
      <c r="H19" s="25">
        <f t="shared" si="3"/>
        <v>422.42857142857144</v>
      </c>
      <c r="I19" s="25">
        <f t="shared" si="3"/>
        <v>74.830769230769235</v>
      </c>
      <c r="J19" s="25">
        <f t="shared" ref="J19" si="4">J18/J17</f>
        <v>68.322580645161295</v>
      </c>
      <c r="K19" s="25">
        <f t="shared" si="3"/>
        <v>202.66666666666666</v>
      </c>
      <c r="L19" s="25">
        <f t="shared" si="3"/>
        <v>2387.9411764705883</v>
      </c>
      <c r="M19" s="25">
        <f t="shared" si="3"/>
        <v>3673</v>
      </c>
      <c r="N19" s="25" t="e">
        <f t="shared" si="3"/>
        <v>#VALUE!</v>
      </c>
    </row>
    <row r="20" spans="1:14" x14ac:dyDescent="0.25">
      <c r="A20" s="26" t="s">
        <v>59</v>
      </c>
      <c r="B20" s="27">
        <f>B18+B15+B11+B8</f>
        <v>26972</v>
      </c>
      <c r="C20" s="27">
        <f t="shared" ref="C20:N20" si="5">C18+C15+C11+C8</f>
        <v>27417</v>
      </c>
      <c r="D20" s="27">
        <f t="shared" si="5"/>
        <v>23406</v>
      </c>
      <c r="E20" s="27">
        <f t="shared" si="5"/>
        <v>24171</v>
      </c>
      <c r="F20" s="27">
        <f t="shared" si="5"/>
        <v>25635</v>
      </c>
      <c r="G20" s="27">
        <f t="shared" si="5"/>
        <v>25589</v>
      </c>
      <c r="H20" s="27">
        <f t="shared" si="5"/>
        <v>17896</v>
      </c>
      <c r="I20" s="27">
        <f t="shared" si="5"/>
        <v>17552</v>
      </c>
      <c r="J20" s="27">
        <f t="shared" ref="J20" si="6">J18+J15+J11+J8</f>
        <v>19433</v>
      </c>
      <c r="K20" s="27">
        <f t="shared" si="5"/>
        <v>19408</v>
      </c>
      <c r="L20" s="27">
        <f t="shared" si="5"/>
        <v>29372</v>
      </c>
      <c r="M20" s="27">
        <f t="shared" si="5"/>
        <v>29306</v>
      </c>
      <c r="N20" s="27" t="e">
        <f t="shared" si="5"/>
        <v>#VALUE!</v>
      </c>
    </row>
  </sheetData>
  <mergeCells count="1">
    <mergeCell ref="A1:A2"/>
  </mergeCells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Beier</dc:creator>
  <cp:lastModifiedBy>Sebastian Beier</cp:lastModifiedBy>
  <dcterms:created xsi:type="dcterms:W3CDTF">2026-04-26T11:47:36Z</dcterms:created>
  <dcterms:modified xsi:type="dcterms:W3CDTF">2026-05-01T12:28:26Z</dcterms:modified>
</cp:coreProperties>
</file>